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kne\Desktop\excel class\Assignment 1\"/>
    </mc:Choice>
  </mc:AlternateContent>
  <xr:revisionPtr revIDLastSave="0" documentId="13_ncr:1_{CBC32A9B-12D2-4B4E-8AA5-E1AADAD6D0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2" r:id="rId1"/>
  </sheets>
  <calcPr calcId="181029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H34" i="2" l="1"/>
  <c r="I46" i="2"/>
  <c r="T18" i="2" s="1"/>
  <c r="I33" i="2"/>
  <c r="J33" i="2" s="1"/>
  <c r="D33" i="2"/>
  <c r="C33" i="2"/>
  <c r="B33" i="2"/>
  <c r="I32" i="2"/>
  <c r="J32" i="2" s="1"/>
  <c r="D32" i="2"/>
  <c r="C32" i="2"/>
  <c r="B32" i="2"/>
  <c r="I31" i="2"/>
  <c r="J31" i="2" s="1"/>
  <c r="D31" i="2"/>
  <c r="C31" i="2"/>
  <c r="B31" i="2"/>
  <c r="I30" i="2"/>
  <c r="J30" i="2" s="1"/>
  <c r="D30" i="2"/>
  <c r="C30" i="2"/>
  <c r="B30" i="2"/>
  <c r="I29" i="2"/>
  <c r="J29" i="2" s="1"/>
  <c r="D29" i="2"/>
  <c r="C29" i="2"/>
  <c r="B29" i="2"/>
  <c r="I28" i="2"/>
  <c r="J28" i="2" s="1"/>
  <c r="D28" i="2"/>
  <c r="C28" i="2"/>
  <c r="B28" i="2"/>
  <c r="I27" i="2"/>
  <c r="J27" i="2" s="1"/>
  <c r="D27" i="2"/>
  <c r="C27" i="2"/>
  <c r="B27" i="2"/>
  <c r="I26" i="2"/>
  <c r="J26" i="2" s="1"/>
  <c r="D26" i="2"/>
  <c r="C26" i="2"/>
  <c r="B26" i="2"/>
  <c r="I25" i="2"/>
  <c r="J25" i="2" s="1"/>
  <c r="D25" i="2"/>
  <c r="C25" i="2"/>
  <c r="B25" i="2"/>
  <c r="I24" i="2"/>
  <c r="J24" i="2" s="1"/>
  <c r="D24" i="2"/>
  <c r="C24" i="2"/>
  <c r="B24" i="2"/>
  <c r="I23" i="2"/>
  <c r="J23" i="2" s="1"/>
  <c r="D23" i="2"/>
  <c r="C23" i="2"/>
  <c r="B23" i="2"/>
  <c r="I22" i="2"/>
  <c r="J22" i="2" s="1"/>
  <c r="D22" i="2"/>
  <c r="C22" i="2"/>
  <c r="B22" i="2"/>
  <c r="I21" i="2"/>
  <c r="J21" i="2" s="1"/>
  <c r="D21" i="2"/>
  <c r="C21" i="2"/>
  <c r="B21" i="2"/>
  <c r="I20" i="2"/>
  <c r="J20" i="2" s="1"/>
  <c r="D20" i="2"/>
  <c r="C20" i="2"/>
  <c r="B20" i="2"/>
  <c r="I19" i="2"/>
  <c r="J19" i="2" s="1"/>
  <c r="D19" i="2"/>
  <c r="C19" i="2"/>
  <c r="B19" i="2"/>
  <c r="I18" i="2"/>
  <c r="J18" i="2" s="1"/>
  <c r="D18" i="2"/>
  <c r="C18" i="2"/>
  <c r="B18" i="2"/>
  <c r="I17" i="2"/>
  <c r="J17" i="2" s="1"/>
  <c r="D17" i="2"/>
  <c r="C17" i="2"/>
  <c r="B17" i="2"/>
  <c r="I16" i="2"/>
  <c r="J16" i="2" s="1"/>
  <c r="D16" i="2"/>
  <c r="C16" i="2"/>
  <c r="B16" i="2"/>
  <c r="I15" i="2"/>
  <c r="J15" i="2" s="1"/>
  <c r="D15" i="2"/>
  <c r="C15" i="2"/>
  <c r="B15" i="2"/>
  <c r="I14" i="2"/>
  <c r="J14" i="2" s="1"/>
  <c r="D14" i="2"/>
  <c r="C14" i="2"/>
  <c r="B14" i="2"/>
  <c r="I13" i="2"/>
  <c r="J13" i="2" s="1"/>
  <c r="D13" i="2"/>
  <c r="C13" i="2"/>
  <c r="B13" i="2"/>
  <c r="I12" i="2"/>
  <c r="J12" i="2" s="1"/>
  <c r="D12" i="2"/>
  <c r="C12" i="2"/>
  <c r="B12" i="2"/>
  <c r="I11" i="2"/>
  <c r="J11" i="2" s="1"/>
  <c r="D11" i="2"/>
  <c r="C11" i="2"/>
  <c r="B11" i="2"/>
  <c r="I10" i="2"/>
  <c r="J10" i="2" s="1"/>
  <c r="D10" i="2"/>
  <c r="C10" i="2"/>
  <c r="B10" i="2"/>
  <c r="I9" i="2"/>
  <c r="J9" i="2" s="1"/>
  <c r="D9" i="2"/>
  <c r="C9" i="2"/>
  <c r="B9" i="2"/>
  <c r="I8" i="2"/>
  <c r="J8" i="2" s="1"/>
  <c r="D8" i="2"/>
  <c r="C8" i="2"/>
  <c r="B8" i="2"/>
  <c r="I7" i="2"/>
  <c r="J7" i="2" s="1"/>
  <c r="D7" i="2"/>
  <c r="C7" i="2"/>
  <c r="B7" i="2"/>
  <c r="I6" i="2"/>
  <c r="J6" i="2" s="1"/>
  <c r="D6" i="2"/>
  <c r="C6" i="2"/>
  <c r="B6" i="2"/>
  <c r="I5" i="2"/>
  <c r="J5" i="2" s="1"/>
  <c r="D5" i="2"/>
  <c r="C5" i="2"/>
  <c r="B5" i="2"/>
  <c r="I4" i="2"/>
  <c r="J4" i="2" s="1"/>
  <c r="D4" i="2"/>
  <c r="C4" i="2"/>
  <c r="B4" i="2"/>
  <c r="I3" i="2"/>
  <c r="J3" i="2" s="1"/>
  <c r="D3" i="2"/>
  <c r="C3" i="2"/>
  <c r="B3" i="2"/>
  <c r="I2" i="2"/>
  <c r="D2" i="2"/>
  <c r="C2" i="2"/>
  <c r="B2" i="2"/>
  <c r="I40" i="2" l="1"/>
  <c r="N28" i="2" s="1"/>
  <c r="I42" i="2"/>
  <c r="N33" i="2" s="1"/>
  <c r="J2" i="2"/>
  <c r="I34" i="2"/>
  <c r="N10" i="2" s="1"/>
  <c r="I38" i="2"/>
  <c r="N21" i="2" s="1"/>
  <c r="E4" i="2"/>
  <c r="K23" i="2"/>
  <c r="E8" i="2"/>
  <c r="F10" i="2"/>
  <c r="K20" i="2"/>
  <c r="F17" i="2"/>
  <c r="K9" i="2"/>
  <c r="F28" i="2"/>
  <c r="E7" i="2"/>
  <c r="K14" i="2"/>
  <c r="K21" i="2"/>
  <c r="E14" i="2"/>
  <c r="F11" i="2"/>
  <c r="F15" i="2"/>
  <c r="K32" i="2"/>
  <c r="F19" i="2"/>
  <c r="E33" i="2"/>
  <c r="E13" i="2"/>
  <c r="K33" i="2"/>
  <c r="K22" i="2"/>
  <c r="F24" i="2"/>
  <c r="F32" i="2"/>
  <c r="K26" i="2"/>
  <c r="F31" i="2"/>
  <c r="K7" i="2"/>
  <c r="E10" i="2"/>
  <c r="K30" i="2"/>
  <c r="F13" i="2"/>
  <c r="K16" i="2"/>
  <c r="E19" i="2"/>
  <c r="F23" i="2"/>
  <c r="K29" i="2"/>
  <c r="E11" i="2"/>
  <c r="E18" i="2"/>
  <c r="F7" i="2"/>
  <c r="F20" i="2"/>
  <c r="F14" i="2"/>
  <c r="F8" i="2"/>
  <c r="F12" i="2"/>
  <c r="E30" i="2"/>
  <c r="K10" i="2"/>
  <c r="F9" i="2"/>
  <c r="K31" i="2"/>
  <c r="K15" i="2"/>
  <c r="K11" i="2"/>
  <c r="E5" i="2"/>
  <c r="F29" i="2"/>
  <c r="E28" i="2"/>
  <c r="E21" i="2"/>
  <c r="K24" i="2"/>
  <c r="E20" i="2"/>
  <c r="E17" i="2"/>
  <c r="E6" i="2"/>
  <c r="K27" i="2"/>
  <c r="E12" i="2"/>
  <c r="E16" i="2"/>
  <c r="E23" i="2"/>
  <c r="K2" i="2"/>
  <c r="I44" i="2"/>
  <c r="T13" i="2"/>
  <c r="F3" i="2"/>
  <c r="F25" i="2"/>
  <c r="K12" i="2"/>
  <c r="F5" i="2"/>
  <c r="N16" i="2"/>
  <c r="E34" i="2"/>
  <c r="E2" i="2"/>
  <c r="E24" i="2"/>
  <c r="E31" i="2"/>
  <c r="E3" i="2"/>
  <c r="F18" i="2"/>
  <c r="F6" i="2"/>
  <c r="K6" i="2"/>
  <c r="F22" i="2"/>
  <c r="E27" i="2"/>
  <c r="F27" i="2"/>
  <c r="K25" i="2"/>
  <c r="K18" i="2"/>
  <c r="E22" i="2"/>
  <c r="K4" i="2"/>
  <c r="K13" i="2"/>
  <c r="E25" i="2"/>
  <c r="E32" i="2"/>
  <c r="K19" i="2"/>
  <c r="E9" i="2"/>
  <c r="F33" i="2"/>
  <c r="E26" i="2"/>
  <c r="E15" i="2"/>
  <c r="S2" i="2"/>
  <c r="F2" i="2"/>
  <c r="K5" i="2"/>
  <c r="K17" i="2"/>
  <c r="F30" i="2"/>
  <c r="E29" i="2"/>
  <c r="F16" i="2"/>
  <c r="K28" i="2"/>
  <c r="F4" i="2"/>
  <c r="F21" i="2"/>
  <c r="K8" i="2"/>
  <c r="K3" i="2"/>
  <c r="F26" i="2"/>
</calcChain>
</file>

<file path=xl/sharedStrings.xml><?xml version="1.0" encoding="utf-8"?>
<sst xmlns="http://schemas.openxmlformats.org/spreadsheetml/2006/main" count="82" uniqueCount="74">
  <si>
    <t>Product ID</t>
  </si>
  <si>
    <t>Product Name</t>
  </si>
  <si>
    <t>Brand Name</t>
  </si>
  <si>
    <t>Price ($)</t>
  </si>
  <si>
    <t>Quantity</t>
  </si>
  <si>
    <t>Category</t>
  </si>
  <si>
    <t>28-JAN-US</t>
  </si>
  <si>
    <t>15-FEB-US</t>
  </si>
  <si>
    <t>03-MAR-US</t>
  </si>
  <si>
    <t>11-APR-US</t>
  </si>
  <si>
    <t>22-MAY-US</t>
  </si>
  <si>
    <t>07-JUN-UK</t>
  </si>
  <si>
    <t>19-JUL-UK</t>
  </si>
  <si>
    <t>23-AUG-UK</t>
  </si>
  <si>
    <t>05-SEP-UK</t>
  </si>
  <si>
    <t>14-OCT-UK</t>
  </si>
  <si>
    <t>17-JUN-IN</t>
  </si>
  <si>
    <t>25-NOV-AU</t>
  </si>
  <si>
    <t>08-DEC-DE</t>
  </si>
  <si>
    <t>18-FEB-CA</t>
  </si>
  <si>
    <t>16-APR-ES</t>
  </si>
  <si>
    <t>21-AUG-CA</t>
  </si>
  <si>
    <t>20-AUG-CN</t>
  </si>
  <si>
    <t>27-JAN-IT</t>
  </si>
  <si>
    <t>01-MAR-UK</t>
  </si>
  <si>
    <t>14-AUG-US</t>
  </si>
  <si>
    <t>14-MAY-RU</t>
  </si>
  <si>
    <t>09-JAN-CA</t>
  </si>
  <si>
    <t>19-JUL-BR</t>
  </si>
  <si>
    <t>29-SEP-CA</t>
  </si>
  <si>
    <t>03-JUN-CA</t>
  </si>
  <si>
    <t>11-JUL-CA</t>
  </si>
  <si>
    <t>07-MAR-CA</t>
  </si>
  <si>
    <t>13-APR-CA</t>
  </si>
  <si>
    <t>24-MAY-CA</t>
  </si>
  <si>
    <t>02-DEC-CA</t>
  </si>
  <si>
    <t>09-JUL-FR</t>
  </si>
  <si>
    <t>Formula :</t>
  </si>
  <si>
    <t>selling price   F2=E2*D2</t>
  </si>
  <si>
    <t>Total selling price  F36=SUM([Total Price ($)])</t>
  </si>
  <si>
    <t>selling price   B36 =COUNTA([Product Name])</t>
  </si>
  <si>
    <t>Average</t>
  </si>
  <si>
    <t>Average =AVERAGE(Table1[Total Price ($)])</t>
  </si>
  <si>
    <t>* Howmany products in exist</t>
  </si>
  <si>
    <t>* Average price of the products</t>
  </si>
  <si>
    <t>QUESTION 1</t>
  </si>
  <si>
    <t>QUESTION 2</t>
  </si>
  <si>
    <t>* Minimum price among all products</t>
  </si>
  <si>
    <t>Min price</t>
  </si>
  <si>
    <t>Min Price = MIN(Table1[Total Price ($)])</t>
  </si>
  <si>
    <t>* Maximum price among all products</t>
  </si>
  <si>
    <t>Max price</t>
  </si>
  <si>
    <t>Price Range($)</t>
  </si>
  <si>
    <t>QUESTION 3</t>
  </si>
  <si>
    <t>* Categorize theproducts based on their price:</t>
  </si>
  <si>
    <t>Value=if([@[Total Price ($)]]&gt;=500,"HIGH","STANDARD")</t>
  </si>
  <si>
    <t>* total price of products in the
Electronics category.</t>
  </si>
  <si>
    <t>QUESTION 4</t>
  </si>
  <si>
    <t>Value=SUMIF(Table1[[#Headers],[#Data],[Category]],H2,Table1[[#Headers],[#Data],[Total Price ($)]])</t>
  </si>
  <si>
    <t>Total Price of Electronics</t>
  </si>
  <si>
    <t>* Number of products with a price 
less than $100.</t>
  </si>
  <si>
    <t>No. of Products &lt;$100</t>
  </si>
  <si>
    <t>Day</t>
  </si>
  <si>
    <t>Country Code</t>
  </si>
  <si>
    <t>Month</t>
  </si>
  <si>
    <t>QUESTION 5</t>
  </si>
  <si>
    <t>*Text Formatting – LEFT, RIGHT, MID</t>
  </si>
  <si>
    <r>
      <t xml:space="preserve">* Added a column and named it as </t>
    </r>
    <r>
      <rPr>
        <b/>
        <sz val="10"/>
        <color rgb="FF000000"/>
        <rFont val="Arial"/>
        <family val="2"/>
        <scheme val="minor"/>
      </rPr>
      <t>selling price</t>
    </r>
    <r>
      <rPr>
        <sz val="10"/>
        <color rgb="FF000000"/>
        <rFont val="Arial"/>
        <scheme val="minor"/>
      </rPr>
      <t xml:space="preserve"> to find sum of each products and find the total selling price at the end of the row.</t>
    </r>
  </si>
  <si>
    <t>Selling Price ($)</t>
  </si>
  <si>
    <r>
      <t>1)a new column named</t>
    </r>
    <r>
      <rPr>
        <b/>
        <sz val="10"/>
        <color rgb="FF000000"/>
        <rFont val="Arial"/>
        <family val="2"/>
        <scheme val="minor"/>
      </rPr>
      <t xml:space="preserve"> Day </t>
    </r>
    <r>
      <rPr>
        <sz val="10"/>
        <color rgb="FF000000"/>
        <rFont val="Arial"/>
        <family val="2"/>
        <scheme val="minor"/>
      </rPr>
      <t>with the first 2 characters of each
'Product ID' using the LEFT function created.</t>
    </r>
  </si>
  <si>
    <r>
      <t>3)a new column named</t>
    </r>
    <r>
      <rPr>
        <b/>
        <sz val="10"/>
        <color rgb="FF000000"/>
        <rFont val="Arial"/>
        <family val="2"/>
        <scheme val="minor"/>
      </rPr>
      <t xml:space="preserve"> Month</t>
    </r>
    <r>
      <rPr>
        <sz val="10"/>
        <color rgb="FF000000"/>
        <rFont val="Arial"/>
        <family val="2"/>
        <scheme val="minor"/>
      </rPr>
      <t xml:space="preserve"> by extracting the 4th to 6th
characters from the 'Product ID' column using the</t>
    </r>
    <r>
      <rPr>
        <b/>
        <sz val="10"/>
        <color rgb="FF000000"/>
        <rFont val="Arial"/>
        <family val="2"/>
        <scheme val="minor"/>
      </rPr>
      <t xml:space="preserve"> MID function.</t>
    </r>
  </si>
  <si>
    <r>
      <t xml:space="preserve">2)a new column named </t>
    </r>
    <r>
      <rPr>
        <b/>
        <sz val="10"/>
        <color rgb="FF000000"/>
        <rFont val="Arial"/>
        <family val="2"/>
        <scheme val="minor"/>
      </rPr>
      <t>Country Code</t>
    </r>
    <r>
      <rPr>
        <sz val="10"/>
        <color rgb="FF000000"/>
        <rFont val="Arial"/>
        <family val="2"/>
        <scheme val="minor"/>
      </rPr>
      <t xml:space="preserve"> by extracting the last 2
characters from the 'Product ID' column using the</t>
    </r>
    <r>
      <rPr>
        <b/>
        <sz val="10"/>
        <color rgb="FF000000"/>
        <rFont val="Arial"/>
        <family val="2"/>
        <scheme val="minor"/>
      </rPr>
      <t xml:space="preserve"> RIGHT</t>
    </r>
    <r>
      <rPr>
        <sz val="10"/>
        <color rgb="FF000000"/>
        <rFont val="Arial"/>
        <family val="2"/>
        <scheme val="minor"/>
      </rPr>
      <t xml:space="preserve"> function.</t>
    </r>
  </si>
  <si>
    <t>Value=COUNTIF(Table1[Price ($)],"&lt;=100")</t>
  </si>
  <si>
    <t>Max Price = MAX(Table1[Total Price ($)])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</si>
</sst>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4" borderId="0" xfId="0" applyFont="1" applyFill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3" borderId="5" xfId="0" applyFont="1" applyFill="1" applyBorder="1"/>
    <xf numFmtId="0" fontId="1" fillId="3" borderId="1" xfId="0" applyFont="1" applyFill="1" applyBorder="1"/>
    <xf numFmtId="0" fontId="0" fillId="7" borderId="0" xfId="0" applyFill="1"/>
    <xf numFmtId="0" fontId="1" fillId="3" borderId="0" xfId="0" applyFont="1" applyFill="1"/>
    <xf numFmtId="0" fontId="4" fillId="0" borderId="6" xfId="0" applyFont="1" applyBorder="1"/>
    <xf numFmtId="0" fontId="4" fillId="3" borderId="6" xfId="0" applyFont="1" applyFill="1" applyBorder="1"/>
    <xf numFmtId="0" fontId="5" fillId="7" borderId="0" xfId="0" applyFont="1" applyFill="1"/>
    <xf numFmtId="0" fontId="5" fillId="0" borderId="0" xfId="0" applyFont="1" applyAlignment="1">
      <alignment wrapText="1"/>
    </xf>
    <xf numFmtId="1" fontId="2" fillId="0" borderId="1" xfId="0" applyNumberFormat="1" applyFont="1" applyBorder="1"/>
    <xf numFmtId="1" fontId="2" fillId="3" borderId="1" xfId="0" applyNumberFormat="1" applyFont="1" applyFill="1" applyBorder="1"/>
    <xf numFmtId="0" fontId="3" fillId="3" borderId="7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6" borderId="0" xfId="0" applyFont="1" applyFill="1" applyAlignment="1">
      <alignment horizontal="left"/>
    </xf>
    <xf numFmtId="0" fontId="3" fillId="3" borderId="8" xfId="0" applyFont="1" applyFill="1" applyBorder="1"/>
    <xf numFmtId="0" fontId="0" fillId="5" borderId="0" xfId="0" applyFill="1" applyAlignment="1">
      <alignment horizontal="left" wrapText="1"/>
    </xf>
    <xf numFmtId="0" fontId="0" fillId="6" borderId="0" xfId="0" applyFill="1" applyAlignment="1">
      <alignment horizontal="center" wrapText="1"/>
    </xf>
    <xf numFmtId="0" fontId="0" fillId="6" borderId="0" xfId="0" applyFill="1" applyAlignment="1">
      <alignment horizontal="left" wrapText="1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5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5" fillId="6" borderId="0" xfId="0" applyFont="1" applyFill="1" applyAlignment="1">
      <alignment horizontal="left"/>
    </xf>
    <xf numFmtId="0" fontId="5" fillId="6" borderId="0" xfId="0" applyFont="1" applyFill="1" applyAlignment="1">
      <alignment horizontal="left" wrapText="1"/>
    </xf>
    <xf numFmtId="0" fontId="6" fillId="8" borderId="0" xfId="0" applyFont="1" applyFill="1" applyAlignment="1">
      <alignment horizontal="center"/>
    </xf>
    <xf numFmtId="0" fontId="5" fillId="5" borderId="0" xfId="0" applyFont="1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6" borderId="0" xfId="0" applyFill="1" applyAlignment="1">
      <alignment horizontal="left"/>
    </xf>
    <xf numFmtId="168" fontId="2" fillId="0" borderId="1" xfId="0" applyNumberFormat="1" applyFont="1" applyBorder="1"/>
    <xf numFmtId="168" fontId="2" fillId="3" borderId="1" xfId="0" applyNumberFormat="1" applyFont="1" applyFill="1" applyBorder="1"/>
    <xf numFmtId="168" fontId="3" fillId="3" borderId="8" xfId="0" applyNumberFormat="1" applyFont="1" applyFill="1" applyBorder="1"/>
    <xf numFmtId="2" fontId="2" fillId="0" borderId="5" xfId="0" applyNumberFormat="1" applyFont="1" applyBorder="1" applyAlignment="1">
      <alignment horizontal="center"/>
    </xf>
    <xf numFmtId="2" fontId="2" fillId="3" borderId="5" xfId="0" applyNumberFormat="1" applyFont="1" applyFill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2" fillId="3" borderId="5" xfId="0" applyNumberFormat="1" applyFont="1" applyFill="1" applyBorder="1" applyAlignment="1">
      <alignment horizontal="center"/>
    </xf>
    <xf numFmtId="49" fontId="2" fillId="0" borderId="5" xfId="0" applyNumberFormat="1" applyFont="1" applyBorder="1" applyAlignment="1">
      <alignment horizontal="left"/>
    </xf>
    <xf numFmtId="49" fontId="2" fillId="3" borderId="5" xfId="0" applyNumberFormat="1" applyFont="1" applyFill="1" applyBorder="1" applyAlignment="1">
      <alignment horizontal="left"/>
    </xf>
    <xf numFmtId="1" fontId="3" fillId="3" borderId="8" xfId="0" applyNumberFormat="1" applyFont="1" applyFill="1" applyBorder="1"/>
    <xf numFmtId="49" fontId="2" fillId="0" borderId="6" xfId="0" applyNumberFormat="1" applyFont="1" applyBorder="1"/>
    <xf numFmtId="49" fontId="3" fillId="3" borderId="9" xfId="0" applyNumberFormat="1" applyFont="1" applyFill="1" applyBorder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&quot;$&quot;#,##0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&quot;$&quot;#,##0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&quot;$&quot;#,##0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&quot;$&quot;#,##0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F49E3B-527A-4719-87E7-39B5BF573FD8}" name="Table13" displayName="Table13" ref="A1:K34" totalsRowCount="1" headerRowDxfId="26" dataDxfId="24" headerRowBorderDxfId="25" tableBorderDxfId="23" totalsRowBorderDxfId="22">
  <autoFilter ref="A1:K33" xr:uid="{DEF49E3B-527A-4719-87E7-39B5BF573FD8}"/>
  <tableColumns count="11">
    <tableColumn id="1" xr3:uid="{3DE7B53B-0E11-4B9F-9338-F3D97E973300}" name="Product ID" dataDxfId="21" totalsRowDxfId="12"/>
    <tableColumn id="9" xr3:uid="{1FB1171A-8CAF-4627-A7D0-F6048F7564B9}" name="Day" dataDxfId="20" totalsRowDxfId="11">
      <calculatedColumnFormula>LEFT(Table13[[#This Row],[Product ID]],2)</calculatedColumnFormula>
    </tableColumn>
    <tableColumn id="10" xr3:uid="{1959542B-5ED3-4CFB-8547-17F11FA046CB}" name="Country Code" dataDxfId="19" totalsRowDxfId="10">
      <calculatedColumnFormula>RIGHT(Table13[[#This Row],[Product ID]],2)</calculatedColumnFormula>
    </tableColumn>
    <tableColumn id="11" xr3:uid="{3BAE4752-D330-4DFA-BAC3-947E13B755ED}" name="Month" dataDxfId="18" totalsRowDxfId="9">
      <calculatedColumnFormula>MID(Table13[[#This Row],[Product ID]],4,3)</calculatedColumnFormula>
    </tableColumn>
    <tableColumn id="2" xr3:uid="{CEE37F03-4FED-4761-BF0A-23066DFED529}" name="Product Name" totalsRowFunction="custom" dataDxfId="17" totalsRowDxfId="8">
      <calculatedColumnFormula>PROPER(TRIM(CLEAN(Table13[[#This Row],[Product Name]])))</calculatedColumnFormula>
      <totalsRowFormula>COUNTA(Table13[Product Name])</totalsRowFormula>
    </tableColumn>
    <tableColumn id="3" xr3:uid="{602BD542-E6B1-4A8F-B59B-73C6E8714D06}" name="Brand Name" dataDxfId="16" totalsRowDxfId="7">
      <calculatedColumnFormula>PROPER(TRIM(CLEAN(Table13[[#This Row],[Brand Name]])))</calculatedColumnFormula>
    </tableColumn>
    <tableColumn id="4" xr3:uid="{D2776BEE-949E-469E-A097-161E6A2A2241}" name="Price ($)" dataDxfId="15" totalsRowDxfId="6"/>
    <tableColumn id="5" xr3:uid="{2F9E9289-B231-48C8-AC09-DA517D6ED47D}" name="Quantity" totalsRowFunction="custom" dataDxfId="13" totalsRowDxfId="5">
      <totalsRowFormula>SUM(Table13[Quantity])</totalsRowFormula>
    </tableColumn>
    <tableColumn id="6" xr3:uid="{387D842F-F46E-4365-8431-B8691E2B7476}" name="Selling Price ($)" totalsRowFunction="custom" dataDxfId="14" totalsRowDxfId="4">
      <calculatedColumnFormula>H2*G2</calculatedColumnFormula>
      <totalsRowFormula>SUM(Table13[Selling Price ($)])</totalsRowFormula>
    </tableColumn>
    <tableColumn id="8" xr3:uid="{32B12BF8-6787-4461-A5F7-F43367DA1997}" name="Price Range($)" dataDxfId="1" totalsRowDxfId="3">
      <calculatedColumnFormula>IF(Table13[[#This Row],[Selling Price ($)]]&gt;=500,"HIGH","STANDARD")</calculatedColumnFormula>
    </tableColumn>
    <tableColumn id="7" xr3:uid="{0CEF9099-E997-404B-999F-7483F9E35A81}" name="Category" dataDxfId="0" totalsRowDxfId="2">
      <calculatedColumnFormula>PROPER(TRIM(CLEAN(Table13[[#This Row],[Category]])))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F0DD-6374-438C-A376-AAC21D558F2A}">
  <dimension ref="A1:AA1000"/>
  <sheetViews>
    <sheetView tabSelected="1" zoomScale="60" zoomScaleNormal="60" workbookViewId="0">
      <selection activeCell="J38" sqref="J38"/>
    </sheetView>
  </sheetViews>
  <sheetFormatPr defaultColWidth="12.6640625" defaultRowHeight="13.2" x14ac:dyDescent="0.25"/>
  <cols>
    <col min="1" max="2" width="18.33203125" customWidth="1"/>
    <col min="3" max="5" width="20.88671875" customWidth="1"/>
    <col min="6" max="6" width="20.6640625" customWidth="1"/>
    <col min="7" max="7" width="17.33203125" customWidth="1"/>
    <col min="8" max="8" width="23.44140625" customWidth="1"/>
    <col min="9" max="9" width="27.44140625" customWidth="1"/>
    <col min="10" max="10" width="27.21875" customWidth="1"/>
    <col min="11" max="11" width="17.44140625" customWidth="1"/>
    <col min="16" max="16" width="30.109375" customWidth="1"/>
    <col min="26" max="26" width="52.33203125" customWidth="1"/>
  </cols>
  <sheetData>
    <row r="1" spans="1:27" ht="15.75" customHeight="1" x14ac:dyDescent="0.25">
      <c r="A1" s="4" t="s">
        <v>0</v>
      </c>
      <c r="B1" s="19" t="s">
        <v>62</v>
      </c>
      <c r="C1" s="19" t="s">
        <v>63</v>
      </c>
      <c r="D1" s="19" t="s">
        <v>64</v>
      </c>
      <c r="E1" s="5" t="s">
        <v>1</v>
      </c>
      <c r="F1" s="5" t="s">
        <v>2</v>
      </c>
      <c r="G1" s="5" t="s">
        <v>3</v>
      </c>
      <c r="H1" s="5" t="s">
        <v>4</v>
      </c>
      <c r="I1" s="20" t="s">
        <v>68</v>
      </c>
      <c r="J1" s="6" t="s">
        <v>52</v>
      </c>
      <c r="K1" s="6" t="s">
        <v>5</v>
      </c>
      <c r="L1" s="1"/>
    </row>
    <row r="2" spans="1:27" ht="15.75" customHeight="1" x14ac:dyDescent="0.25">
      <c r="A2" s="7" t="s">
        <v>6</v>
      </c>
      <c r="B2" s="39" t="str">
        <f>LEFT(Table13[[#This Row],[Product ID]],2)</f>
        <v>28</v>
      </c>
      <c r="C2" s="41" t="str">
        <f>RIGHT(Table13[[#This Row],[Product ID]],2)</f>
        <v>US</v>
      </c>
      <c r="D2" s="41" t="str">
        <f>MID(Table13[[#This Row],[Product ID]],4,3)</f>
        <v>JAN</v>
      </c>
      <c r="E2" s="43" t="str">
        <f ca="1">PROPER(TRIM(CLEAN(Table13[[#This Row],[Product Name]])))</f>
        <v>Laptop</v>
      </c>
      <c r="F2" s="43" t="str">
        <f ca="1">PROPER(TRIM(CLEAN(Table13[[#This Row],[Brand Name]])))</f>
        <v>Dell</v>
      </c>
      <c r="G2" s="36">
        <v>1000</v>
      </c>
      <c r="H2" s="16">
        <v>30</v>
      </c>
      <c r="I2" s="36">
        <f t="shared" ref="I2:I33" si="0">H2*G2</f>
        <v>30000</v>
      </c>
      <c r="J2" s="12" t="str">
        <f>IF(Table13[[#This Row],[Selling Price ($)]]&gt;=500,"HIGH","STANDARD")</f>
        <v>HIGH</v>
      </c>
      <c r="K2" s="46" t="str">
        <f ca="1">PROPER(TRIM(CLEAN(Table13[[#This Row],[Category]])))</f>
        <v>Electronics</v>
      </c>
      <c r="L2" s="2"/>
      <c r="S2">
        <f ca="1">COUNTIF(Table13[Brand Name],Table13[Price ($)]&lt;=100)</f>
        <v>0</v>
      </c>
    </row>
    <row r="3" spans="1:27" ht="15.75" customHeight="1" x14ac:dyDescent="0.25">
      <c r="A3" s="8" t="s">
        <v>7</v>
      </c>
      <c r="B3" s="40" t="str">
        <f>LEFT(Table13[[#This Row],[Product ID]],2)</f>
        <v>15</v>
      </c>
      <c r="C3" s="42" t="str">
        <f>RIGHT(Table13[[#This Row],[Product ID]],2)</f>
        <v>US</v>
      </c>
      <c r="D3" s="42" t="str">
        <f>MID(Table13[[#This Row],[Product ID]],4,3)</f>
        <v>FEB</v>
      </c>
      <c r="E3" s="44" t="str">
        <f ca="1">PROPER(TRIM(CLEAN(Table13[[#This Row],[Product Name]])))</f>
        <v>Sneakers</v>
      </c>
      <c r="F3" s="44" t="str">
        <f ca="1">PROPER(TRIM(CLEAN(Table13[[#This Row],[Brand Name]])))</f>
        <v>Nike</v>
      </c>
      <c r="G3" s="37">
        <v>80</v>
      </c>
      <c r="H3" s="17">
        <v>15</v>
      </c>
      <c r="I3" s="37">
        <f t="shared" si="0"/>
        <v>1200</v>
      </c>
      <c r="J3" s="13" t="str">
        <f>IF(Table13[[#This Row],[Selling Price ($)]]&gt;=500,"HIGH","STANDARD")</f>
        <v>HIGH</v>
      </c>
      <c r="K3" s="46" t="str">
        <f ca="1">PROPER(TRIM(CLEAN(Table13[[#This Row],[Category]])))</f>
        <v>Fashion</v>
      </c>
      <c r="L3" s="2"/>
      <c r="M3" s="10" t="s">
        <v>45</v>
      </c>
    </row>
    <row r="4" spans="1:27" ht="15.75" customHeight="1" x14ac:dyDescent="0.25">
      <c r="A4" s="7" t="s">
        <v>8</v>
      </c>
      <c r="B4" s="39" t="str">
        <f>LEFT(Table13[[#This Row],[Product ID]],2)</f>
        <v>03</v>
      </c>
      <c r="C4" s="41" t="str">
        <f>RIGHT(Table13[[#This Row],[Product ID]],2)</f>
        <v>US</v>
      </c>
      <c r="D4" s="41" t="str">
        <f>MID(Table13[[#This Row],[Product ID]],4,3)</f>
        <v>MAR</v>
      </c>
      <c r="E4" s="43" t="str">
        <f ca="1">PROPER(TRIM(CLEAN(Table13[[#This Row],[Product Name]])))</f>
        <v>Coffee Maker</v>
      </c>
      <c r="F4" s="43" t="str">
        <f ca="1">PROPER(TRIM(CLEAN(Table13[[#This Row],[Brand Name]])))</f>
        <v>Keurig</v>
      </c>
      <c r="G4" s="36">
        <v>130</v>
      </c>
      <c r="H4" s="16">
        <v>40</v>
      </c>
      <c r="I4" s="36">
        <f t="shared" si="0"/>
        <v>5200</v>
      </c>
      <c r="J4" s="12" t="str">
        <f>IF(Table13[[#This Row],[Selling Price ($)]]&gt;=500,"HIGH","STANDARD")</f>
        <v>HIGH</v>
      </c>
      <c r="K4" s="46" t="str">
        <f ca="1">PROPER(TRIM(CLEAN(Table13[[#This Row],[Category]])))</f>
        <v>Kitchen</v>
      </c>
      <c r="L4" s="2"/>
    </row>
    <row r="5" spans="1:27" ht="15.75" customHeight="1" x14ac:dyDescent="0.25">
      <c r="A5" s="8" t="s">
        <v>9</v>
      </c>
      <c r="B5" s="40" t="str">
        <f>LEFT(Table13[[#This Row],[Product ID]],2)</f>
        <v>11</v>
      </c>
      <c r="C5" s="42" t="str">
        <f>RIGHT(Table13[[#This Row],[Product ID]],2)</f>
        <v>US</v>
      </c>
      <c r="D5" s="42" t="str">
        <f>MID(Table13[[#This Row],[Product ID]],4,3)</f>
        <v>APR</v>
      </c>
      <c r="E5" s="44" t="str">
        <f ca="1">PROPER(TRIM(CLEAN(Table13[[#This Row],[Product Name]])))</f>
        <v>Smartphone</v>
      </c>
      <c r="F5" s="44" t="str">
        <f ca="1">PROPER(TRIM(CLEAN(Table13[[#This Row],[Brand Name]])))</f>
        <v>Samsung</v>
      </c>
      <c r="G5" s="37">
        <v>900</v>
      </c>
      <c r="H5" s="17">
        <v>25</v>
      </c>
      <c r="I5" s="37">
        <f t="shared" si="0"/>
        <v>22500</v>
      </c>
      <c r="J5" s="13" t="str">
        <f>IF(Table13[[#This Row],[Selling Price ($)]]&gt;=500,"HIGH","STANDARD")</f>
        <v>HIGH</v>
      </c>
      <c r="K5" s="46" t="str">
        <f ca="1">PROPER(TRIM(CLEAN(Table13[[#This Row],[Category]])))</f>
        <v>Electronics</v>
      </c>
      <c r="L5" s="2"/>
      <c r="M5" s="33" t="s">
        <v>67</v>
      </c>
      <c r="N5" s="34"/>
      <c r="O5" s="34"/>
      <c r="P5" s="34"/>
      <c r="Q5" s="34"/>
    </row>
    <row r="6" spans="1:27" ht="15.75" customHeight="1" x14ac:dyDescent="0.25">
      <c r="A6" s="7" t="s">
        <v>10</v>
      </c>
      <c r="B6" s="39" t="str">
        <f>LEFT(Table13[[#This Row],[Product ID]],2)</f>
        <v>22</v>
      </c>
      <c r="C6" s="41" t="str">
        <f>RIGHT(Table13[[#This Row],[Product ID]],2)</f>
        <v>US</v>
      </c>
      <c r="D6" s="41" t="str">
        <f>MID(Table13[[#This Row],[Product ID]],4,3)</f>
        <v>MAY</v>
      </c>
      <c r="E6" s="43" t="str">
        <f ca="1">PROPER(TRIM(CLEAN(Table13[[#This Row],[Product Name]])))</f>
        <v>Backpack</v>
      </c>
      <c r="F6" s="43" t="str">
        <f ca="1">PROPER(TRIM(CLEAN(Table13[[#This Row],[Brand Name]])))</f>
        <v>North Face</v>
      </c>
      <c r="G6" s="36">
        <v>70</v>
      </c>
      <c r="H6" s="16">
        <v>20</v>
      </c>
      <c r="I6" s="36">
        <f t="shared" si="0"/>
        <v>1400</v>
      </c>
      <c r="J6" s="12" t="str">
        <f>IF(Table13[[#This Row],[Selling Price ($)]]&gt;=500,"HIGH","STANDARD")</f>
        <v>HIGH</v>
      </c>
      <c r="K6" s="46" t="str">
        <f ca="1">PROPER(TRIM(CLEAN(Table13[[#This Row],[Category]])))</f>
        <v>Outdoor</v>
      </c>
      <c r="L6" s="2"/>
      <c r="M6" s="34"/>
      <c r="N6" s="34"/>
      <c r="O6" s="34"/>
      <c r="P6" s="34"/>
      <c r="Q6" s="34"/>
    </row>
    <row r="7" spans="1:27" ht="15.75" customHeight="1" x14ac:dyDescent="0.25">
      <c r="A7" s="8" t="s">
        <v>11</v>
      </c>
      <c r="B7" s="40" t="str">
        <f>LEFT(Table13[[#This Row],[Product ID]],2)</f>
        <v>07</v>
      </c>
      <c r="C7" s="42" t="str">
        <f>RIGHT(Table13[[#This Row],[Product ID]],2)</f>
        <v>UK</v>
      </c>
      <c r="D7" s="42" t="str">
        <f>MID(Table13[[#This Row],[Product ID]],4,3)</f>
        <v>JUN</v>
      </c>
      <c r="E7" s="44" t="str">
        <f ca="1">PROPER(TRIM(CLEAN(Table13[[#This Row],[Product Name]])))</f>
        <v>Headphones</v>
      </c>
      <c r="F7" s="44" t="str">
        <f ca="1">PROPER(TRIM(CLEAN(Table13[[#This Row],[Brand Name]])))</f>
        <v>Sony</v>
      </c>
      <c r="G7" s="37">
        <v>200</v>
      </c>
      <c r="H7" s="17">
        <v>45</v>
      </c>
      <c r="I7" s="37">
        <f t="shared" si="0"/>
        <v>9000</v>
      </c>
      <c r="J7" s="13" t="str">
        <f>IF(Table13[[#This Row],[Selling Price ($)]]&gt;=500,"HIGH","STANDARD")</f>
        <v>HIGH</v>
      </c>
      <c r="K7" s="46" t="str">
        <f ca="1">PROPER(TRIM(CLEAN(Table13[[#This Row],[Category]])))</f>
        <v>Electronics</v>
      </c>
      <c r="L7" s="2"/>
      <c r="N7" s="24" t="s">
        <v>37</v>
      </c>
      <c r="O7" s="24"/>
      <c r="P7" s="24"/>
      <c r="Q7" s="24"/>
    </row>
    <row r="8" spans="1:27" ht="15.75" customHeight="1" x14ac:dyDescent="0.25">
      <c r="A8" s="7" t="s">
        <v>12</v>
      </c>
      <c r="B8" s="39" t="str">
        <f>LEFT(Table13[[#This Row],[Product ID]],2)</f>
        <v>19</v>
      </c>
      <c r="C8" s="41" t="str">
        <f>RIGHT(Table13[[#This Row],[Product ID]],2)</f>
        <v>UK</v>
      </c>
      <c r="D8" s="41" t="str">
        <f>MID(Table13[[#This Row],[Product ID]],4,3)</f>
        <v>JUL</v>
      </c>
      <c r="E8" s="43" t="str">
        <f ca="1">PROPER(TRIM(CLEAN(Table13[[#This Row],[Product Name]])))</f>
        <v>T-Shirt</v>
      </c>
      <c r="F8" s="43" t="str">
        <f ca="1">PROPER(TRIM(CLEAN(Table13[[#This Row],[Brand Name]])))</f>
        <v>Adidas</v>
      </c>
      <c r="G8" s="36">
        <v>30</v>
      </c>
      <c r="H8" s="16">
        <v>5</v>
      </c>
      <c r="I8" s="36">
        <f t="shared" si="0"/>
        <v>150</v>
      </c>
      <c r="J8" s="12" t="str">
        <f>IF(Table13[[#This Row],[Selling Price ($)]]&gt;=500,"HIGH","STANDARD")</f>
        <v>STANDARD</v>
      </c>
      <c r="K8" s="46" t="str">
        <f ca="1">PROPER(TRIM(CLEAN(Table13[[#This Row],[Category]])))</f>
        <v>Fashion</v>
      </c>
      <c r="L8" s="2"/>
      <c r="N8" s="25" t="s">
        <v>38</v>
      </c>
      <c r="O8" s="25"/>
      <c r="P8" s="25"/>
      <c r="Q8" s="25"/>
      <c r="S8" s="14" t="s">
        <v>57</v>
      </c>
    </row>
    <row r="9" spans="1:27" ht="15.75" customHeight="1" x14ac:dyDescent="0.25">
      <c r="A9" s="8" t="s">
        <v>13</v>
      </c>
      <c r="B9" s="40" t="str">
        <f>LEFT(Table13[[#This Row],[Product ID]],2)</f>
        <v>23</v>
      </c>
      <c r="C9" s="42" t="str">
        <f>RIGHT(Table13[[#This Row],[Product ID]],2)</f>
        <v>UK</v>
      </c>
      <c r="D9" s="42" t="str">
        <f>MID(Table13[[#This Row],[Product ID]],4,3)</f>
        <v>AUG</v>
      </c>
      <c r="E9" s="44" t="str">
        <f ca="1">PROPER(TRIM(CLEAN(Table13[[#This Row],[Product Name]])))</f>
        <v>Blender</v>
      </c>
      <c r="F9" s="44" t="str">
        <f ca="1">PROPER(TRIM(CLEAN(Table13[[#This Row],[Brand Name]])))</f>
        <v>Ninja</v>
      </c>
      <c r="G9" s="37">
        <v>90</v>
      </c>
      <c r="H9" s="17">
        <v>35</v>
      </c>
      <c r="I9" s="37">
        <f t="shared" si="0"/>
        <v>3150</v>
      </c>
      <c r="J9" s="13" t="str">
        <f>IF(Table13[[#This Row],[Selling Price ($)]]&gt;=500,"HIGH","STANDARD")</f>
        <v>HIGH</v>
      </c>
      <c r="K9" s="46" t="str">
        <f ca="1">PROPER(TRIM(CLEAN(Table13[[#This Row],[Category]])))</f>
        <v>Kitchen</v>
      </c>
      <c r="L9" s="2"/>
      <c r="N9" s="35" t="s">
        <v>39</v>
      </c>
      <c r="O9" s="35"/>
      <c r="P9" s="35"/>
      <c r="Q9" s="35"/>
    </row>
    <row r="10" spans="1:27" ht="15.75" customHeight="1" x14ac:dyDescent="0.25">
      <c r="A10" s="7" t="s">
        <v>14</v>
      </c>
      <c r="B10" s="39" t="str">
        <f>LEFT(Table13[[#This Row],[Product ID]],2)</f>
        <v>05</v>
      </c>
      <c r="C10" s="41" t="str">
        <f>RIGHT(Table13[[#This Row],[Product ID]],2)</f>
        <v>UK</v>
      </c>
      <c r="D10" s="41" t="str">
        <f>MID(Table13[[#This Row],[Product ID]],4,3)</f>
        <v>SEP</v>
      </c>
      <c r="E10" s="43" t="str">
        <f ca="1">PROPER(TRIM(CLEAN(Table13[[#This Row],[Product Name]])))</f>
        <v>Tablet</v>
      </c>
      <c r="F10" s="43" t="str">
        <f ca="1">PROPER(TRIM(CLEAN(Table13[[#This Row],[Brand Name]])))</f>
        <v>Apple</v>
      </c>
      <c r="G10" s="36">
        <v>500</v>
      </c>
      <c r="H10" s="16">
        <v>50</v>
      </c>
      <c r="I10" s="36">
        <f t="shared" si="0"/>
        <v>25000</v>
      </c>
      <c r="J10" s="12" t="str">
        <f>IF(Table13[[#This Row],[Selling Price ($)]]&gt;=500,"HIGH","STANDARD")</f>
        <v>HIGH</v>
      </c>
      <c r="K10" s="46" t="str">
        <f ca="1">PROPER(TRIM(CLEAN(Table13[[#This Row],[Category]])))</f>
        <v>Electronics</v>
      </c>
      <c r="L10" s="2"/>
      <c r="N10" s="27">
        <f>Table13[[#Totals],[Selling Price ($)]]</f>
        <v>264200</v>
      </c>
      <c r="O10" s="27"/>
      <c r="P10" s="27"/>
      <c r="Q10" s="27"/>
      <c r="S10" s="28" t="s">
        <v>56</v>
      </c>
      <c r="T10" s="28"/>
      <c r="U10" s="28"/>
      <c r="V10" s="28"/>
      <c r="W10" s="28"/>
      <c r="X10" s="28"/>
      <c r="Y10" s="28"/>
      <c r="Z10" s="28"/>
    </row>
    <row r="11" spans="1:27" ht="15.75" customHeight="1" x14ac:dyDescent="0.25">
      <c r="A11" s="8" t="s">
        <v>15</v>
      </c>
      <c r="B11" s="40" t="str">
        <f>LEFT(Table13[[#This Row],[Product ID]],2)</f>
        <v>14</v>
      </c>
      <c r="C11" s="42" t="str">
        <f>RIGHT(Table13[[#This Row],[Product ID]],2)</f>
        <v>UK</v>
      </c>
      <c r="D11" s="42" t="str">
        <f>MID(Table13[[#This Row],[Product ID]],4,3)</f>
        <v>OCT</v>
      </c>
      <c r="E11" s="44" t="str">
        <f ca="1">PROPER(TRIM(CLEAN(Table13[[#This Row],[Product Name]])))</f>
        <v>Hiking Boots</v>
      </c>
      <c r="F11" s="44" t="str">
        <f ca="1">PROPER(TRIM(CLEAN(Table13[[#This Row],[Brand Name]])))</f>
        <v>Timberland</v>
      </c>
      <c r="G11" s="37">
        <v>130</v>
      </c>
      <c r="H11" s="17">
        <v>10</v>
      </c>
      <c r="I11" s="37">
        <f t="shared" si="0"/>
        <v>1300</v>
      </c>
      <c r="J11" s="13" t="str">
        <f>IF(Table13[[#This Row],[Selling Price ($)]]&gt;=500,"HIGH","STANDARD")</f>
        <v>HIGH</v>
      </c>
      <c r="K11" s="46" t="str">
        <f ca="1">PROPER(TRIM(CLEAN(Table13[[#This Row],[Category]])))</f>
        <v>Outdoor</v>
      </c>
      <c r="L11" s="2"/>
      <c r="T11" s="24" t="s">
        <v>37</v>
      </c>
      <c r="U11" s="24"/>
      <c r="V11" s="24"/>
      <c r="W11" s="24"/>
      <c r="X11" s="24"/>
      <c r="Y11" s="24"/>
      <c r="Z11" s="24"/>
    </row>
    <row r="12" spans="1:27" ht="15.75" customHeight="1" x14ac:dyDescent="0.25">
      <c r="A12" s="7" t="s">
        <v>16</v>
      </c>
      <c r="B12" s="39" t="str">
        <f>LEFT(Table13[[#This Row],[Product ID]],2)</f>
        <v>17</v>
      </c>
      <c r="C12" s="41" t="str">
        <f>RIGHT(Table13[[#This Row],[Product ID]],2)</f>
        <v>IN</v>
      </c>
      <c r="D12" s="41" t="str">
        <f>MID(Table13[[#This Row],[Product ID]],4,3)</f>
        <v>JUN</v>
      </c>
      <c r="E12" s="43" t="str">
        <f ca="1">PROPER(TRIM(CLEAN(Table13[[#This Row],[Product Name]])))</f>
        <v>Laptop</v>
      </c>
      <c r="F12" s="43" t="str">
        <f ca="1">PROPER(TRIM(CLEAN(Table13[[#This Row],[Brand Name]])))</f>
        <v>Hp</v>
      </c>
      <c r="G12" s="36">
        <v>950</v>
      </c>
      <c r="H12" s="16">
        <v>25</v>
      </c>
      <c r="I12" s="36">
        <f t="shared" si="0"/>
        <v>23750</v>
      </c>
      <c r="J12" s="12" t="str">
        <f>IF(Table13[[#This Row],[Selling Price ($)]]&gt;=500,"HIGH","STANDARD")</f>
        <v>HIGH</v>
      </c>
      <c r="K12" s="46" t="str">
        <f ca="1">PROPER(TRIM(CLEAN(Table13[[#This Row],[Category]])))</f>
        <v>Electronics</v>
      </c>
      <c r="L12" s="2"/>
      <c r="T12" s="31" t="s">
        <v>58</v>
      </c>
      <c r="U12" s="31"/>
      <c r="V12" s="31"/>
      <c r="W12" s="31"/>
      <c r="X12" s="31"/>
      <c r="Y12" s="31"/>
      <c r="Z12" s="31"/>
      <c r="AA12" s="15"/>
    </row>
    <row r="13" spans="1:27" ht="15.75" customHeight="1" x14ac:dyDescent="0.25">
      <c r="A13" s="8" t="s">
        <v>17</v>
      </c>
      <c r="B13" s="40" t="str">
        <f>LEFT(Table13[[#This Row],[Product ID]],2)</f>
        <v>25</v>
      </c>
      <c r="C13" s="42" t="str">
        <f>RIGHT(Table13[[#This Row],[Product ID]],2)</f>
        <v>AU</v>
      </c>
      <c r="D13" s="42" t="str">
        <f>MID(Table13[[#This Row],[Product ID]],4,3)</f>
        <v>NOV</v>
      </c>
      <c r="E13" s="44" t="str">
        <f ca="1">PROPER(TRIM(CLEAN(Table13[[#This Row],[Product Name]])))</f>
        <v>Sneakers</v>
      </c>
      <c r="F13" s="44" t="str">
        <f ca="1">PROPER(TRIM(CLEAN(Table13[[#This Row],[Brand Name]])))</f>
        <v>Adidas</v>
      </c>
      <c r="G13" s="37">
        <v>90</v>
      </c>
      <c r="H13" s="17">
        <v>40</v>
      </c>
      <c r="I13" s="37">
        <f t="shared" si="0"/>
        <v>3600</v>
      </c>
      <c r="J13" s="13" t="str">
        <f>IF(Table13[[#This Row],[Selling Price ($)]]&gt;=500,"HIGH","STANDARD")</f>
        <v>HIGH</v>
      </c>
      <c r="K13" s="46" t="str">
        <f ca="1">PROPER(TRIM(CLEAN(Table13[[#This Row],[Category]])))</f>
        <v>Fashion</v>
      </c>
      <c r="L13" s="2"/>
      <c r="M13" s="23" t="s">
        <v>43</v>
      </c>
      <c r="N13" s="23"/>
      <c r="O13" s="23"/>
      <c r="P13" s="23"/>
      <c r="Q13" s="23"/>
      <c r="T13" s="32">
        <f ca="1">I44</f>
        <v>210450</v>
      </c>
      <c r="U13" s="32"/>
      <c r="V13" s="32"/>
      <c r="W13" s="32"/>
      <c r="X13" s="32"/>
      <c r="Y13" s="32"/>
      <c r="Z13" s="32"/>
    </row>
    <row r="14" spans="1:27" ht="15.75" customHeight="1" x14ac:dyDescent="0.25">
      <c r="A14" s="7" t="s">
        <v>18</v>
      </c>
      <c r="B14" s="39" t="str">
        <f>LEFT(Table13[[#This Row],[Product ID]],2)</f>
        <v>08</v>
      </c>
      <c r="C14" s="41" t="str">
        <f>RIGHT(Table13[[#This Row],[Product ID]],2)</f>
        <v>DE</v>
      </c>
      <c r="D14" s="41" t="str">
        <f>MID(Table13[[#This Row],[Product ID]],4,3)</f>
        <v>DEC</v>
      </c>
      <c r="E14" s="43" t="str">
        <f ca="1">PROPER(TRIM(CLEAN(Table13[[#This Row],[Product Name]])))</f>
        <v>Coffee Maker</v>
      </c>
      <c r="F14" s="43" t="str">
        <f ca="1">PROPER(TRIM(CLEAN(Table13[[#This Row],[Brand Name]])))</f>
        <v>Nespresso</v>
      </c>
      <c r="G14" s="36">
        <v>120</v>
      </c>
      <c r="H14" s="16">
        <v>35</v>
      </c>
      <c r="I14" s="36">
        <f t="shared" si="0"/>
        <v>4200</v>
      </c>
      <c r="J14" s="12" t="str">
        <f>IF(Table13[[#This Row],[Selling Price ($)]]&gt;=500,"HIGH","STANDARD")</f>
        <v>HIGH</v>
      </c>
      <c r="K14" s="46" t="str">
        <f ca="1">PROPER(TRIM(CLEAN(Table13[[#This Row],[Category]])))</f>
        <v>Kitchen</v>
      </c>
      <c r="L14" s="2"/>
      <c r="N14" s="24" t="s">
        <v>37</v>
      </c>
      <c r="O14" s="24"/>
      <c r="P14" s="24"/>
      <c r="Q14" s="24"/>
    </row>
    <row r="15" spans="1:27" ht="15.75" customHeight="1" x14ac:dyDescent="0.25">
      <c r="A15" s="8" t="s">
        <v>19</v>
      </c>
      <c r="B15" s="40" t="str">
        <f>LEFT(Table13[[#This Row],[Product ID]],2)</f>
        <v>18</v>
      </c>
      <c r="C15" s="42" t="str">
        <f>RIGHT(Table13[[#This Row],[Product ID]],2)</f>
        <v>CA</v>
      </c>
      <c r="D15" s="42" t="str">
        <f>MID(Table13[[#This Row],[Product ID]],4,3)</f>
        <v>FEB</v>
      </c>
      <c r="E15" s="44" t="str">
        <f ca="1">PROPER(TRIM(CLEAN(Table13[[#This Row],[Product Name]])))</f>
        <v>Smartwatch</v>
      </c>
      <c r="F15" s="44" t="str">
        <f ca="1">PROPER(TRIM(CLEAN(Table13[[#This Row],[Brand Name]])))</f>
        <v>Fitbit</v>
      </c>
      <c r="G15" s="37">
        <v>150</v>
      </c>
      <c r="H15" s="17">
        <v>15</v>
      </c>
      <c r="I15" s="37">
        <f t="shared" si="0"/>
        <v>2250</v>
      </c>
      <c r="J15" s="13" t="str">
        <f>IF(Table13[[#This Row],[Selling Price ($)]]&gt;=500,"HIGH","STANDARD")</f>
        <v>HIGH</v>
      </c>
      <c r="K15" s="46" t="str">
        <f ca="1">PROPER(TRIM(CLEAN(Table13[[#This Row],[Category]])))</f>
        <v>Electronics</v>
      </c>
      <c r="L15" s="2"/>
      <c r="N15" s="25" t="s">
        <v>40</v>
      </c>
      <c r="O15" s="25"/>
      <c r="P15" s="25"/>
      <c r="Q15" s="25"/>
      <c r="S15" s="28" t="s">
        <v>60</v>
      </c>
      <c r="T15" s="28"/>
      <c r="U15" s="28"/>
      <c r="V15" s="28"/>
      <c r="W15" s="28"/>
      <c r="X15" s="28"/>
      <c r="Y15" s="28"/>
      <c r="Z15" s="28"/>
    </row>
    <row r="16" spans="1:27" ht="15.75" customHeight="1" x14ac:dyDescent="0.25">
      <c r="A16" s="7" t="s">
        <v>20</v>
      </c>
      <c r="B16" s="39" t="str">
        <f>LEFT(Table13[[#This Row],[Product ID]],2)</f>
        <v>16</v>
      </c>
      <c r="C16" s="41" t="str">
        <f>RIGHT(Table13[[#This Row],[Product ID]],2)</f>
        <v>ES</v>
      </c>
      <c r="D16" s="41" t="str">
        <f>MID(Table13[[#This Row],[Product ID]],4,3)</f>
        <v>APR</v>
      </c>
      <c r="E16" s="43" t="str">
        <f ca="1">PROPER(TRIM(CLEAN(Table13[[#This Row],[Product Name]])))</f>
        <v>Headphones</v>
      </c>
      <c r="F16" s="43" t="str">
        <f ca="1">PROPER(TRIM(CLEAN(Table13[[#This Row],[Brand Name]])))</f>
        <v>Bose</v>
      </c>
      <c r="G16" s="36">
        <v>250</v>
      </c>
      <c r="H16" s="16">
        <v>20</v>
      </c>
      <c r="I16" s="36">
        <f t="shared" si="0"/>
        <v>5000</v>
      </c>
      <c r="J16" s="12" t="str">
        <f>IF(Table13[[#This Row],[Selling Price ($)]]&gt;=500,"HIGH","STANDARD")</f>
        <v>HIGH</v>
      </c>
      <c r="K16" s="46" t="str">
        <f ca="1">PROPER(TRIM(CLEAN(Table13[[#This Row],[Category]])))</f>
        <v>Electronics</v>
      </c>
      <c r="L16" s="2"/>
      <c r="N16" s="27">
        <f ca="1">Table13[[#Totals],[Product Name]]</f>
        <v>32</v>
      </c>
      <c r="O16" s="27"/>
      <c r="P16" s="27"/>
      <c r="Q16" s="27"/>
      <c r="T16" s="24" t="s">
        <v>37</v>
      </c>
      <c r="U16" s="24"/>
      <c r="V16" s="24"/>
      <c r="W16" s="24"/>
      <c r="X16" s="24"/>
      <c r="Y16" s="24"/>
      <c r="Z16" s="24"/>
    </row>
    <row r="17" spans="1:26" ht="15.75" customHeight="1" x14ac:dyDescent="0.25">
      <c r="A17" s="8" t="s">
        <v>21</v>
      </c>
      <c r="B17" s="40" t="str">
        <f>LEFT(Table13[[#This Row],[Product ID]],2)</f>
        <v>21</v>
      </c>
      <c r="C17" s="42" t="str">
        <f>RIGHT(Table13[[#This Row],[Product ID]],2)</f>
        <v>CA</v>
      </c>
      <c r="D17" s="42" t="str">
        <f>MID(Table13[[#This Row],[Product ID]],4,3)</f>
        <v>AUG</v>
      </c>
      <c r="E17" s="44" t="str">
        <f ca="1">PROPER(TRIM(CLEAN(Table13[[#This Row],[Product Name]])))</f>
        <v>Laptop Bag</v>
      </c>
      <c r="F17" s="44" t="str">
        <f ca="1">PROPER(TRIM(CLEAN(Table13[[#This Row],[Brand Name]])))</f>
        <v>Samsonite</v>
      </c>
      <c r="G17" s="37">
        <v>50</v>
      </c>
      <c r="H17" s="17">
        <v>35</v>
      </c>
      <c r="I17" s="37">
        <f t="shared" si="0"/>
        <v>1750</v>
      </c>
      <c r="J17" s="13" t="str">
        <f>IF(Table13[[#This Row],[Selling Price ($)]]&gt;=500,"HIGH","STANDARD")</f>
        <v>HIGH</v>
      </c>
      <c r="K17" s="46" t="str">
        <f ca="1">PROPER(TRIM(CLEAN(Table13[[#This Row],[Category]])))</f>
        <v>Accessories</v>
      </c>
      <c r="L17" s="2"/>
      <c r="T17" s="31" t="s">
        <v>72</v>
      </c>
      <c r="U17" s="31"/>
      <c r="V17" s="31"/>
      <c r="W17" s="31"/>
      <c r="X17" s="31"/>
      <c r="Y17" s="31"/>
      <c r="Z17" s="31"/>
    </row>
    <row r="18" spans="1:26" ht="15.75" customHeight="1" x14ac:dyDescent="0.25">
      <c r="A18" s="7" t="s">
        <v>22</v>
      </c>
      <c r="B18" s="39" t="str">
        <f>LEFT(Table13[[#This Row],[Product ID]],2)</f>
        <v>20</v>
      </c>
      <c r="C18" s="41" t="str">
        <f>RIGHT(Table13[[#This Row],[Product ID]],2)</f>
        <v>CN</v>
      </c>
      <c r="D18" s="41" t="str">
        <f>MID(Table13[[#This Row],[Product ID]],4,3)</f>
        <v>AUG</v>
      </c>
      <c r="E18" s="43" t="str">
        <f ca="1">PROPER(TRIM(CLEAN(Table13[[#This Row],[Product Name]])))</f>
        <v>Smartwatch</v>
      </c>
      <c r="F18" s="43" t="str">
        <f ca="1">PROPER(TRIM(CLEAN(Table13[[#This Row],[Brand Name]])))</f>
        <v>Huawei</v>
      </c>
      <c r="G18" s="36">
        <v>160</v>
      </c>
      <c r="H18" s="16">
        <v>15</v>
      </c>
      <c r="I18" s="36">
        <f t="shared" si="0"/>
        <v>2400</v>
      </c>
      <c r="J18" s="12" t="str">
        <f>IF(Table13[[#This Row],[Selling Price ($)]]&gt;=500,"HIGH","STANDARD")</f>
        <v>HIGH</v>
      </c>
      <c r="K18" s="46" t="str">
        <f ca="1">PROPER(TRIM(CLEAN(Table13[[#This Row],[Category]])))</f>
        <v>Electronics</v>
      </c>
      <c r="L18" s="2"/>
      <c r="M18" s="23" t="s">
        <v>44</v>
      </c>
      <c r="N18" s="23"/>
      <c r="O18" s="23"/>
      <c r="P18" s="23"/>
      <c r="Q18" s="23"/>
      <c r="T18" s="32">
        <f>I46</f>
        <v>11</v>
      </c>
      <c r="U18" s="32"/>
      <c r="V18" s="32"/>
      <c r="W18" s="32"/>
      <c r="X18" s="32"/>
      <c r="Y18" s="32"/>
      <c r="Z18" s="32"/>
    </row>
    <row r="19" spans="1:26" ht="15.75" customHeight="1" x14ac:dyDescent="0.25">
      <c r="A19" s="8" t="s">
        <v>23</v>
      </c>
      <c r="B19" s="40" t="str">
        <f>LEFT(Table13[[#This Row],[Product ID]],2)</f>
        <v>27</v>
      </c>
      <c r="C19" s="42" t="str">
        <f>RIGHT(Table13[[#This Row],[Product ID]],2)</f>
        <v>IT</v>
      </c>
      <c r="D19" s="42" t="str">
        <f>MID(Table13[[#This Row],[Product ID]],4,3)</f>
        <v>JAN</v>
      </c>
      <c r="E19" s="44" t="str">
        <f ca="1">PROPER(TRIM(CLEAN(Table13[[#This Row],[Product Name]])))</f>
        <v>Laptop</v>
      </c>
      <c r="F19" s="44" t="str">
        <f ca="1">PROPER(TRIM(CLEAN(Table13[[#This Row],[Brand Name]])))</f>
        <v>Asus</v>
      </c>
      <c r="G19" s="37">
        <v>980</v>
      </c>
      <c r="H19" s="17">
        <v>10</v>
      </c>
      <c r="I19" s="37">
        <f t="shared" si="0"/>
        <v>9800</v>
      </c>
      <c r="J19" s="13" t="str">
        <f>IF(Table13[[#This Row],[Selling Price ($)]]&gt;=500,"HIGH","STANDARD")</f>
        <v>HIGH</v>
      </c>
      <c r="K19" s="46" t="str">
        <f ca="1">PROPER(TRIM(CLEAN(Table13[[#This Row],[Category]])))</f>
        <v>Electronics</v>
      </c>
      <c r="L19" s="2"/>
      <c r="N19" s="24" t="s">
        <v>37</v>
      </c>
      <c r="O19" s="24"/>
      <c r="P19" s="24"/>
      <c r="Q19" s="24"/>
    </row>
    <row r="20" spans="1:26" ht="15.75" customHeight="1" x14ac:dyDescent="0.25">
      <c r="A20" s="7" t="s">
        <v>24</v>
      </c>
      <c r="B20" s="39" t="str">
        <f>LEFT(Table13[[#This Row],[Product ID]],2)</f>
        <v>01</v>
      </c>
      <c r="C20" s="41" t="str">
        <f>RIGHT(Table13[[#This Row],[Product ID]],2)</f>
        <v>UK</v>
      </c>
      <c r="D20" s="41" t="str">
        <f>MID(Table13[[#This Row],[Product ID]],4,3)</f>
        <v>MAR</v>
      </c>
      <c r="E20" s="43" t="str">
        <f ca="1">PROPER(TRIM(CLEAN(Table13[[#This Row],[Product Name]])))</f>
        <v>Sunglasses</v>
      </c>
      <c r="F20" s="43" t="str">
        <f ca="1">PROPER(TRIM(CLEAN(Table13[[#This Row],[Brand Name]])))</f>
        <v>Oakley</v>
      </c>
      <c r="G20" s="36">
        <v>150</v>
      </c>
      <c r="H20" s="16">
        <v>15</v>
      </c>
      <c r="I20" s="36">
        <f t="shared" si="0"/>
        <v>2250</v>
      </c>
      <c r="J20" s="12" t="str">
        <f>IF(Table13[[#This Row],[Selling Price ($)]]&gt;=500,"HIGH","STANDARD")</f>
        <v>HIGH</v>
      </c>
      <c r="K20" s="46" t="str">
        <f ca="1">PROPER(TRIM(CLEAN(Table13[[#This Row],[Category]])))</f>
        <v>Fashion</v>
      </c>
      <c r="L20" s="2"/>
      <c r="N20" s="25" t="s">
        <v>42</v>
      </c>
      <c r="O20" s="25"/>
      <c r="P20" s="25"/>
      <c r="Q20" s="25"/>
    </row>
    <row r="21" spans="1:26" ht="15.75" customHeight="1" x14ac:dyDescent="0.25">
      <c r="A21" s="8" t="s">
        <v>25</v>
      </c>
      <c r="B21" s="40" t="str">
        <f>LEFT(Table13[[#This Row],[Product ID]],2)</f>
        <v>14</v>
      </c>
      <c r="C21" s="42" t="str">
        <f>RIGHT(Table13[[#This Row],[Product ID]],2)</f>
        <v>US</v>
      </c>
      <c r="D21" s="42" t="str">
        <f>MID(Table13[[#This Row],[Product ID]],4,3)</f>
        <v>AUG</v>
      </c>
      <c r="E21" s="44" t="str">
        <f ca="1">PROPER(TRIM(CLEAN(Table13[[#This Row],[Product Name]])))</f>
        <v>Camping Tent</v>
      </c>
      <c r="F21" s="44" t="str">
        <f ca="1">PROPER(TRIM(CLEAN(Table13[[#This Row],[Brand Name]])))</f>
        <v>Coleman</v>
      </c>
      <c r="G21" s="37">
        <v>200</v>
      </c>
      <c r="H21" s="17">
        <v>10</v>
      </c>
      <c r="I21" s="37">
        <f t="shared" si="0"/>
        <v>2000</v>
      </c>
      <c r="J21" s="13" t="str">
        <f>IF(Table13[[#This Row],[Selling Price ($)]]&gt;=500,"HIGH","STANDARD")</f>
        <v>HIGH</v>
      </c>
      <c r="K21" s="46" t="str">
        <f ca="1">PROPER(TRIM(CLEAN(Table13[[#This Row],[Category]])))</f>
        <v>Outdoor</v>
      </c>
      <c r="L21" s="2"/>
      <c r="N21" s="27">
        <f>I38</f>
        <v>8256.25</v>
      </c>
      <c r="O21" s="27"/>
      <c r="P21" s="27"/>
      <c r="Q21" s="27"/>
      <c r="S21" s="14" t="s">
        <v>65</v>
      </c>
    </row>
    <row r="22" spans="1:26" ht="15.75" customHeight="1" x14ac:dyDescent="0.25">
      <c r="A22" s="7" t="s">
        <v>26</v>
      </c>
      <c r="B22" s="39" t="str">
        <f>LEFT(Table13[[#This Row],[Product ID]],2)</f>
        <v>14</v>
      </c>
      <c r="C22" s="41" t="str">
        <f>RIGHT(Table13[[#This Row],[Product ID]],2)</f>
        <v>RU</v>
      </c>
      <c r="D22" s="41" t="str">
        <f>MID(Table13[[#This Row],[Product ID]],4,3)</f>
        <v>MAY</v>
      </c>
      <c r="E22" s="43" t="str">
        <f ca="1">PROPER(TRIM(CLEAN(Table13[[#This Row],[Product Name]])))</f>
        <v>Camera</v>
      </c>
      <c r="F22" s="43" t="str">
        <f ca="1">PROPER(TRIM(CLEAN(Table13[[#This Row],[Brand Name]])))</f>
        <v>Nikon</v>
      </c>
      <c r="G22" s="36">
        <v>700</v>
      </c>
      <c r="H22" s="16">
        <v>50</v>
      </c>
      <c r="I22" s="36">
        <f t="shared" si="0"/>
        <v>35000</v>
      </c>
      <c r="J22" s="12" t="str">
        <f>IF(Table13[[#This Row],[Selling Price ($)]]&gt;=500,"HIGH","STANDARD")</f>
        <v>HIGH</v>
      </c>
      <c r="K22" s="46" t="str">
        <f ca="1">PROPER(TRIM(CLEAN(Table13[[#This Row],[Category]])))</f>
        <v>Electronics</v>
      </c>
      <c r="L22" s="2"/>
    </row>
    <row r="23" spans="1:26" ht="15.75" customHeight="1" x14ac:dyDescent="0.25">
      <c r="A23" s="8" t="s">
        <v>27</v>
      </c>
      <c r="B23" s="40" t="str">
        <f>LEFT(Table13[[#This Row],[Product ID]],2)</f>
        <v>09</v>
      </c>
      <c r="C23" s="42" t="str">
        <f>RIGHT(Table13[[#This Row],[Product ID]],2)</f>
        <v>CA</v>
      </c>
      <c r="D23" s="42" t="str">
        <f>MID(Table13[[#This Row],[Product ID]],4,3)</f>
        <v>JAN</v>
      </c>
      <c r="E23" s="44" t="str">
        <f ca="1">PROPER(TRIM(CLEAN(Table13[[#This Row],[Product Name]])))</f>
        <v>Microwave</v>
      </c>
      <c r="F23" s="44" t="str">
        <f ca="1">PROPER(TRIM(CLEAN(Table13[[#This Row],[Brand Name]])))</f>
        <v>Panasonic</v>
      </c>
      <c r="G23" s="37">
        <v>80</v>
      </c>
      <c r="H23" s="17">
        <v>20</v>
      </c>
      <c r="I23" s="37">
        <f t="shared" si="0"/>
        <v>1600</v>
      </c>
      <c r="J23" s="13" t="str">
        <f>IF(Table13[[#This Row],[Selling Price ($)]]&gt;=500,"HIGH","STANDARD")</f>
        <v>HIGH</v>
      </c>
      <c r="K23" s="46" t="str">
        <f ca="1">PROPER(TRIM(CLEAN(Table13[[#This Row],[Category]])))</f>
        <v>Kitchen</v>
      </c>
      <c r="L23" s="2"/>
      <c r="M23" s="10" t="s">
        <v>46</v>
      </c>
      <c r="S23" s="28" t="s">
        <v>66</v>
      </c>
      <c r="T23" s="29"/>
      <c r="U23" s="29"/>
      <c r="V23" s="29"/>
      <c r="W23" s="29"/>
      <c r="X23" s="29"/>
      <c r="Y23" s="29"/>
      <c r="Z23" s="29"/>
    </row>
    <row r="24" spans="1:26" ht="15.75" customHeight="1" x14ac:dyDescent="0.25">
      <c r="A24" s="7" t="s">
        <v>28</v>
      </c>
      <c r="B24" s="39" t="str">
        <f>LEFT(Table13[[#This Row],[Product ID]],2)</f>
        <v>19</v>
      </c>
      <c r="C24" s="41" t="str">
        <f>RIGHT(Table13[[#This Row],[Product ID]],2)</f>
        <v>BR</v>
      </c>
      <c r="D24" s="41" t="str">
        <f>MID(Table13[[#This Row],[Product ID]],4,3)</f>
        <v>JUL</v>
      </c>
      <c r="E24" s="43" t="str">
        <f ca="1">PROPER(TRIM(CLEAN(Table13[[#This Row],[Product Name]])))</f>
        <v>Fitness Tracker</v>
      </c>
      <c r="F24" s="43" t="str">
        <f ca="1">PROPER(TRIM(CLEAN(Table13[[#This Row],[Brand Name]])))</f>
        <v>Xiaomi</v>
      </c>
      <c r="G24" s="36">
        <v>150</v>
      </c>
      <c r="H24" s="16">
        <v>30</v>
      </c>
      <c r="I24" s="36">
        <f t="shared" si="0"/>
        <v>4500</v>
      </c>
      <c r="J24" s="12" t="str">
        <f>IF(Table13[[#This Row],[Selling Price ($)]]&gt;=500,"HIGH","STANDARD")</f>
        <v>HIGH</v>
      </c>
      <c r="K24" s="46" t="str">
        <f ca="1">PROPER(TRIM(CLEAN(Table13[[#This Row],[Category]])))</f>
        <v>Electronics</v>
      </c>
      <c r="L24" s="2"/>
      <c r="T24" s="30" t="s">
        <v>69</v>
      </c>
      <c r="U24" s="30"/>
      <c r="V24" s="30"/>
      <c r="W24" s="30"/>
      <c r="X24" s="30"/>
      <c r="Y24" s="30"/>
      <c r="Z24" s="30"/>
    </row>
    <row r="25" spans="1:26" ht="15.75" customHeight="1" x14ac:dyDescent="0.25">
      <c r="A25" s="7" t="s">
        <v>29</v>
      </c>
      <c r="B25" s="39" t="str">
        <f>LEFT(Table13[[#This Row],[Product ID]],2)</f>
        <v>29</v>
      </c>
      <c r="C25" s="41" t="str">
        <f>RIGHT(Table13[[#This Row],[Product ID]],2)</f>
        <v>CA</v>
      </c>
      <c r="D25" s="41" t="str">
        <f>MID(Table13[[#This Row],[Product ID]],4,3)</f>
        <v>SEP</v>
      </c>
      <c r="E25" s="43" t="str">
        <f ca="1">PROPER(TRIM(CLEAN(Table13[[#This Row],[Product Name]])))</f>
        <v>Smartphone</v>
      </c>
      <c r="F25" s="43" t="str">
        <f ca="1">PROPER(TRIM(CLEAN(Table13[[#This Row],[Brand Name]])))</f>
        <v>Google</v>
      </c>
      <c r="G25" s="36">
        <v>800</v>
      </c>
      <c r="H25" s="16">
        <v>45</v>
      </c>
      <c r="I25" s="36">
        <f t="shared" si="0"/>
        <v>36000</v>
      </c>
      <c r="J25" s="12" t="str">
        <f>IF(Table13[[#This Row],[Selling Price ($)]]&gt;=500,"HIGH","STANDARD")</f>
        <v>HIGH</v>
      </c>
      <c r="K25" s="46" t="str">
        <f ca="1">PROPER(TRIM(CLEAN(Table13[[#This Row],[Category]])))</f>
        <v>Electronics</v>
      </c>
      <c r="L25" s="3"/>
      <c r="M25" s="23" t="s">
        <v>47</v>
      </c>
      <c r="N25" s="23"/>
      <c r="O25" s="23"/>
      <c r="P25" s="23"/>
      <c r="Q25" s="23"/>
      <c r="T25" s="21" t="s">
        <v>71</v>
      </c>
      <c r="U25" s="21"/>
      <c r="V25" s="21"/>
      <c r="W25" s="21"/>
      <c r="X25" s="21"/>
      <c r="Y25" s="21"/>
      <c r="Z25" s="21"/>
    </row>
    <row r="26" spans="1:26" ht="15.75" customHeight="1" x14ac:dyDescent="0.25">
      <c r="A26" s="8" t="s">
        <v>30</v>
      </c>
      <c r="B26" s="40" t="str">
        <f>LEFT(Table13[[#This Row],[Product ID]],2)</f>
        <v>03</v>
      </c>
      <c r="C26" s="42" t="str">
        <f>RIGHT(Table13[[#This Row],[Product ID]],2)</f>
        <v>CA</v>
      </c>
      <c r="D26" s="42" t="str">
        <f>MID(Table13[[#This Row],[Product ID]],4,3)</f>
        <v>JUN</v>
      </c>
      <c r="E26" s="44" t="str">
        <f ca="1">PROPER(TRIM(CLEAN(Table13[[#This Row],[Product Name]])))</f>
        <v>Sunglasses</v>
      </c>
      <c r="F26" s="44" t="str">
        <f ca="1">PROPER(TRIM(CLEAN(Table13[[#This Row],[Brand Name]])))</f>
        <v>Ray-Ban</v>
      </c>
      <c r="G26" s="37">
        <v>130</v>
      </c>
      <c r="H26" s="17">
        <v>25</v>
      </c>
      <c r="I26" s="37">
        <f t="shared" si="0"/>
        <v>3250</v>
      </c>
      <c r="J26" s="13" t="str">
        <f>IF(Table13[[#This Row],[Selling Price ($)]]&gt;=500,"HIGH","STANDARD")</f>
        <v>HIGH</v>
      </c>
      <c r="K26" s="46" t="str">
        <f ca="1">PROPER(TRIM(CLEAN(Table13[[#This Row],[Category]])))</f>
        <v>Fashion</v>
      </c>
      <c r="L26" s="2"/>
      <c r="N26" s="24" t="s">
        <v>37</v>
      </c>
      <c r="O26" s="24"/>
      <c r="P26" s="24"/>
      <c r="Q26" s="24"/>
      <c r="T26" s="30" t="s">
        <v>70</v>
      </c>
      <c r="U26" s="30"/>
      <c r="V26" s="30"/>
      <c r="W26" s="30"/>
      <c r="X26" s="30"/>
      <c r="Y26" s="30"/>
      <c r="Z26" s="30"/>
    </row>
    <row r="27" spans="1:26" ht="15.75" customHeight="1" x14ac:dyDescent="0.25">
      <c r="A27" s="7" t="s">
        <v>31</v>
      </c>
      <c r="B27" s="39" t="str">
        <f>LEFT(Table13[[#This Row],[Product ID]],2)</f>
        <v>11</v>
      </c>
      <c r="C27" s="41" t="str">
        <f>RIGHT(Table13[[#This Row],[Product ID]],2)</f>
        <v>CA</v>
      </c>
      <c r="D27" s="41" t="str">
        <f>MID(Table13[[#This Row],[Product ID]],4,3)</f>
        <v>JUL</v>
      </c>
      <c r="E27" s="43" t="str">
        <f ca="1">PROPER(TRIM(CLEAN(Table13[[#This Row],[Product Name]])))</f>
        <v>Blender</v>
      </c>
      <c r="F27" s="43" t="str">
        <f ca="1">PROPER(TRIM(CLEAN(Table13[[#This Row],[Brand Name]])))</f>
        <v>Vitamix</v>
      </c>
      <c r="G27" s="36">
        <v>400</v>
      </c>
      <c r="H27" s="16">
        <v>40</v>
      </c>
      <c r="I27" s="36">
        <f t="shared" si="0"/>
        <v>16000</v>
      </c>
      <c r="J27" s="12" t="str">
        <f>IF(Table13[[#This Row],[Selling Price ($)]]&gt;=500,"HIGH","STANDARD")</f>
        <v>HIGH</v>
      </c>
      <c r="K27" s="46" t="str">
        <f ca="1">PROPER(TRIM(CLEAN(Table13[[#This Row],[Category]])))</f>
        <v>Kitchen</v>
      </c>
      <c r="L27" s="2"/>
      <c r="N27" s="25" t="s">
        <v>49</v>
      </c>
      <c r="O27" s="25"/>
      <c r="P27" s="25"/>
      <c r="Q27" s="25"/>
    </row>
    <row r="28" spans="1:26" ht="15.75" customHeight="1" x14ac:dyDescent="0.25">
      <c r="A28" s="8" t="s">
        <v>20</v>
      </c>
      <c r="B28" s="40" t="str">
        <f>LEFT(Table13[[#This Row],[Product ID]],2)</f>
        <v>16</v>
      </c>
      <c r="C28" s="42" t="str">
        <f>RIGHT(Table13[[#This Row],[Product ID]],2)</f>
        <v>ES</v>
      </c>
      <c r="D28" s="42" t="str">
        <f>MID(Table13[[#This Row],[Product ID]],4,3)</f>
        <v>APR</v>
      </c>
      <c r="E28" s="44" t="str">
        <f ca="1">PROPER(TRIM(CLEAN(Table13[[#This Row],[Product Name]])))</f>
        <v>Headphones</v>
      </c>
      <c r="F28" s="44" t="str">
        <f ca="1">PROPER(TRIM(CLEAN(Table13[[#This Row],[Brand Name]])))</f>
        <v>Bose</v>
      </c>
      <c r="G28" s="37">
        <v>230</v>
      </c>
      <c r="H28" s="17">
        <v>20</v>
      </c>
      <c r="I28" s="37">
        <f t="shared" si="0"/>
        <v>4600</v>
      </c>
      <c r="J28" s="13" t="str">
        <f>IF(Table13[[#This Row],[Selling Price ($)]]&gt;=500,"HIGH","STANDARD")</f>
        <v>HIGH</v>
      </c>
      <c r="K28" s="46" t="str">
        <f ca="1">PROPER(TRIM(CLEAN(Table13[[#This Row],[Category]])))</f>
        <v>Electronics</v>
      </c>
      <c r="L28" s="2"/>
      <c r="N28" s="27">
        <f>I40</f>
        <v>150</v>
      </c>
      <c r="O28" s="27"/>
      <c r="P28" s="27"/>
      <c r="Q28" s="27"/>
    </row>
    <row r="29" spans="1:26" ht="15.75" customHeight="1" x14ac:dyDescent="0.25">
      <c r="A29" s="7" t="s">
        <v>32</v>
      </c>
      <c r="B29" s="39" t="str">
        <f>LEFT(Table13[[#This Row],[Product ID]],2)</f>
        <v>07</v>
      </c>
      <c r="C29" s="41" t="str">
        <f>RIGHT(Table13[[#This Row],[Product ID]],2)</f>
        <v>CA</v>
      </c>
      <c r="D29" s="41" t="str">
        <f>MID(Table13[[#This Row],[Product ID]],4,3)</f>
        <v>MAR</v>
      </c>
      <c r="E29" s="43" t="str">
        <f ca="1">PROPER(TRIM(CLEAN(Table13[[#This Row],[Product Name]])))</f>
        <v>Dress</v>
      </c>
      <c r="F29" s="43" t="str">
        <f ca="1">PROPER(TRIM(CLEAN(Table13[[#This Row],[Brand Name]])))</f>
        <v>Zara</v>
      </c>
      <c r="G29" s="36">
        <v>60</v>
      </c>
      <c r="H29" s="16">
        <v>30</v>
      </c>
      <c r="I29" s="36">
        <f t="shared" si="0"/>
        <v>1800</v>
      </c>
      <c r="J29" s="12" t="str">
        <f>IF(Table13[[#This Row],[Selling Price ($)]]&gt;=500,"HIGH","STANDARD")</f>
        <v>HIGH</v>
      </c>
      <c r="K29" s="46" t="str">
        <f ca="1">PROPER(TRIM(CLEAN(Table13[[#This Row],[Category]])))</f>
        <v>Fashion</v>
      </c>
      <c r="L29" s="3"/>
    </row>
    <row r="30" spans="1:26" ht="15.75" customHeight="1" x14ac:dyDescent="0.25">
      <c r="A30" s="8" t="s">
        <v>33</v>
      </c>
      <c r="B30" s="40" t="str">
        <f>LEFT(Table13[[#This Row],[Product ID]],2)</f>
        <v>13</v>
      </c>
      <c r="C30" s="42" t="str">
        <f>RIGHT(Table13[[#This Row],[Product ID]],2)</f>
        <v>CA</v>
      </c>
      <c r="D30" s="42" t="str">
        <f>MID(Table13[[#This Row],[Product ID]],4,3)</f>
        <v>APR</v>
      </c>
      <c r="E30" s="44" t="str">
        <f ca="1">PROPER(TRIM(CLEAN(Table13[[#This Row],[Product Name]])))</f>
        <v>Toaster</v>
      </c>
      <c r="F30" s="44" t="str">
        <f ca="1">PROPER(TRIM(CLEAN(Table13[[#This Row],[Brand Name]])))</f>
        <v>Hamilton</v>
      </c>
      <c r="G30" s="37">
        <v>40</v>
      </c>
      <c r="H30" s="17">
        <v>10</v>
      </c>
      <c r="I30" s="37">
        <f t="shared" si="0"/>
        <v>400</v>
      </c>
      <c r="J30" s="13" t="str">
        <f>IF(Table13[[#This Row],[Selling Price ($)]]&gt;=500,"HIGH","STANDARD")</f>
        <v>STANDARD</v>
      </c>
      <c r="K30" s="46" t="str">
        <f ca="1">PROPER(TRIM(CLEAN(Table13[[#This Row],[Category]])))</f>
        <v>Kitchen</v>
      </c>
      <c r="L30" s="2"/>
      <c r="M30" s="23" t="s">
        <v>50</v>
      </c>
      <c r="N30" s="23"/>
      <c r="O30" s="23"/>
      <c r="P30" s="23"/>
      <c r="Q30" s="23"/>
    </row>
    <row r="31" spans="1:26" ht="15.75" customHeight="1" x14ac:dyDescent="0.25">
      <c r="A31" s="7" t="s">
        <v>34</v>
      </c>
      <c r="B31" s="39" t="str">
        <f>LEFT(Table13[[#This Row],[Product ID]],2)</f>
        <v>24</v>
      </c>
      <c r="C31" s="41" t="str">
        <f>RIGHT(Table13[[#This Row],[Product ID]],2)</f>
        <v>CA</v>
      </c>
      <c r="D31" s="41" t="str">
        <f>MID(Table13[[#This Row],[Product ID]],4,3)</f>
        <v>MAY</v>
      </c>
      <c r="E31" s="43" t="str">
        <f ca="1">PROPER(TRIM(CLEAN(Table13[[#This Row],[Product Name]])))</f>
        <v>Fitness Tracker</v>
      </c>
      <c r="F31" s="43" t="str">
        <f ca="1">PROPER(TRIM(CLEAN(Table13[[#This Row],[Brand Name]])))</f>
        <v>Garmin</v>
      </c>
      <c r="G31" s="36">
        <v>130</v>
      </c>
      <c r="H31" s="16">
        <v>5</v>
      </c>
      <c r="I31" s="36">
        <f t="shared" si="0"/>
        <v>650</v>
      </c>
      <c r="J31" s="12" t="str">
        <f>IF(Table13[[#This Row],[Selling Price ($)]]&gt;=500,"HIGH","STANDARD")</f>
        <v>HIGH</v>
      </c>
      <c r="K31" s="46" t="str">
        <f ca="1">PROPER(TRIM(CLEAN(Table13[[#This Row],[Category]])))</f>
        <v>Electronics</v>
      </c>
      <c r="L31" s="2"/>
      <c r="N31" s="24" t="s">
        <v>37</v>
      </c>
      <c r="O31" s="24"/>
      <c r="P31" s="24"/>
      <c r="Q31" s="24"/>
    </row>
    <row r="32" spans="1:26" ht="15.75" customHeight="1" x14ac:dyDescent="0.25">
      <c r="A32" s="8" t="s">
        <v>35</v>
      </c>
      <c r="B32" s="40" t="str">
        <f>LEFT(Table13[[#This Row],[Product ID]],2)</f>
        <v>02</v>
      </c>
      <c r="C32" s="42" t="str">
        <f>RIGHT(Table13[[#This Row],[Product ID]],2)</f>
        <v>CA</v>
      </c>
      <c r="D32" s="42" t="str">
        <f>MID(Table13[[#This Row],[Product ID]],4,3)</f>
        <v>DEC</v>
      </c>
      <c r="E32" s="44" t="str">
        <f ca="1">PROPER(TRIM(CLEAN(Table13[[#This Row],[Product Name]])))</f>
        <v>Jeans</v>
      </c>
      <c r="F32" s="44" t="str">
        <f ca="1">PROPER(TRIM(CLEAN(Table13[[#This Row],[Brand Name]])))</f>
        <v>Levi'S</v>
      </c>
      <c r="G32" s="37">
        <v>50</v>
      </c>
      <c r="H32" s="17">
        <v>50</v>
      </c>
      <c r="I32" s="37">
        <f t="shared" si="0"/>
        <v>2500</v>
      </c>
      <c r="J32" s="13" t="str">
        <f>IF(Table13[[#This Row],[Selling Price ($)]]&gt;=500,"HIGH","STANDARD")</f>
        <v>HIGH</v>
      </c>
      <c r="K32" s="46" t="str">
        <f ca="1">PROPER(TRIM(CLEAN(Table13[[#This Row],[Category]])))</f>
        <v>Fashion</v>
      </c>
      <c r="L32" s="2"/>
      <c r="N32" s="25" t="s">
        <v>73</v>
      </c>
      <c r="O32" s="25"/>
      <c r="P32" s="25"/>
      <c r="Q32" s="25"/>
    </row>
    <row r="33" spans="1:17" ht="15.75" customHeight="1" x14ac:dyDescent="0.25">
      <c r="A33" s="8" t="s">
        <v>36</v>
      </c>
      <c r="B33" s="40" t="str">
        <f>LEFT(Table13[[#This Row],[Product ID]],2)</f>
        <v>09</v>
      </c>
      <c r="C33" s="42" t="str">
        <f>RIGHT(Table13[[#This Row],[Product ID]],2)</f>
        <v>FR</v>
      </c>
      <c r="D33" s="42" t="str">
        <f>MID(Table13[[#This Row],[Product ID]],4,3)</f>
        <v>JUL</v>
      </c>
      <c r="E33" s="44" t="str">
        <f ca="1">PROPER(TRIM(CLEAN(Table13[[#This Row],[Product Name]])))</f>
        <v>Watch</v>
      </c>
      <c r="F33" s="44" t="str">
        <f ca="1">PROPER(TRIM(CLEAN(Table13[[#This Row],[Brand Name]])))</f>
        <v>Casio</v>
      </c>
      <c r="G33" s="37">
        <v>100</v>
      </c>
      <c r="H33" s="17">
        <v>20</v>
      </c>
      <c r="I33" s="37">
        <f t="shared" si="0"/>
        <v>2000</v>
      </c>
      <c r="J33" s="13" t="str">
        <f>IF(Table13[[#This Row],[Selling Price ($)]]&gt;=500,"HIGH","STANDARD")</f>
        <v>HIGH</v>
      </c>
      <c r="K33" s="46" t="str">
        <f ca="1">PROPER(TRIM(CLEAN(Table13[[#This Row],[Category]])))</f>
        <v>Accessories</v>
      </c>
      <c r="L33" s="2"/>
      <c r="N33" s="27">
        <f>I42</f>
        <v>36000</v>
      </c>
      <c r="O33" s="27"/>
      <c r="P33" s="27"/>
      <c r="Q33" s="27"/>
    </row>
    <row r="34" spans="1:17" ht="15.75" customHeight="1" x14ac:dyDescent="0.25">
      <c r="A34" s="18"/>
      <c r="B34" s="18"/>
      <c r="C34" s="18"/>
      <c r="D34" s="18"/>
      <c r="E34" s="22">
        <f ca="1">COUNTA(Table13[Product Name])</f>
        <v>32</v>
      </c>
      <c r="F34" s="22"/>
      <c r="G34" s="38"/>
      <c r="H34" s="45">
        <f>SUM(Table13[Quantity])</f>
        <v>840</v>
      </c>
      <c r="I34" s="38">
        <f>SUM(Table13[Selling Price ($)])</f>
        <v>264200</v>
      </c>
      <c r="J34" s="22"/>
      <c r="K34" s="47"/>
      <c r="L34" s="2"/>
    </row>
    <row r="35" spans="1:17" ht="15.75" customHeight="1" x14ac:dyDescent="0.25">
      <c r="L35" s="2"/>
      <c r="M35" s="14" t="s">
        <v>53</v>
      </c>
    </row>
    <row r="36" spans="1:17" ht="15.75" customHeight="1" x14ac:dyDescent="0.25"/>
    <row r="37" spans="1:17" ht="15.75" customHeight="1" x14ac:dyDescent="0.25">
      <c r="M37" s="23" t="s">
        <v>54</v>
      </c>
      <c r="N37" s="23"/>
      <c r="O37" s="23"/>
      <c r="P37" s="23"/>
      <c r="Q37" s="23"/>
    </row>
    <row r="38" spans="1:17" ht="15.75" customHeight="1" x14ac:dyDescent="0.25">
      <c r="H38" s="9" t="s">
        <v>41</v>
      </c>
      <c r="I38" s="9">
        <f>AVERAGE(Table13[Selling Price ($)])</f>
        <v>8256.25</v>
      </c>
      <c r="J38" s="11"/>
      <c r="N38" s="24" t="s">
        <v>37</v>
      </c>
      <c r="O38" s="24"/>
      <c r="P38" s="24"/>
      <c r="Q38" s="24"/>
    </row>
    <row r="39" spans="1:17" ht="15.75" customHeight="1" x14ac:dyDescent="0.25">
      <c r="N39" s="25" t="s">
        <v>55</v>
      </c>
      <c r="O39" s="25"/>
      <c r="P39" s="25"/>
      <c r="Q39" s="25"/>
    </row>
    <row r="40" spans="1:17" ht="15.75" customHeight="1" x14ac:dyDescent="0.25">
      <c r="H40" s="9" t="s">
        <v>48</v>
      </c>
      <c r="I40" s="9">
        <f>MIN(Table13[Selling Price ($)])</f>
        <v>150</v>
      </c>
      <c r="J40" s="11"/>
      <c r="N40" s="26"/>
      <c r="O40" s="26"/>
      <c r="P40" s="26"/>
      <c r="Q40" s="26"/>
    </row>
    <row r="41" spans="1:17" ht="15.75" customHeight="1" x14ac:dyDescent="0.25"/>
    <row r="42" spans="1:17" ht="15.75" customHeight="1" x14ac:dyDescent="0.25">
      <c r="H42" s="9" t="s">
        <v>51</v>
      </c>
      <c r="I42" s="9">
        <f>MAX(Table13[Selling Price ($)])</f>
        <v>36000</v>
      </c>
      <c r="J42" s="11"/>
    </row>
    <row r="43" spans="1:17" ht="15.75" customHeight="1" x14ac:dyDescent="0.25"/>
    <row r="44" spans="1:17" ht="15.75" customHeight="1" x14ac:dyDescent="0.25">
      <c r="H44" s="9" t="s">
        <v>59</v>
      </c>
      <c r="I44" s="9">
        <f ca="1">SUMIF(Table13[[#Headers],[#Data],[Category]],K2,Table13[[#Headers],[#Data],[Selling Price ($)]])</f>
        <v>210450</v>
      </c>
      <c r="J44" s="11"/>
    </row>
    <row r="45" spans="1:17" ht="15.75" customHeight="1" x14ac:dyDescent="0.25"/>
    <row r="46" spans="1:17" ht="15.75" customHeight="1" x14ac:dyDescent="0.25">
      <c r="H46" s="9" t="s">
        <v>61</v>
      </c>
      <c r="I46" s="9">
        <f>COUNTIF(Table13[Price ($)],"&lt;=100")</f>
        <v>11</v>
      </c>
      <c r="J46" s="11"/>
    </row>
    <row r="47" spans="1:17" ht="15.75" customHeight="1" x14ac:dyDescent="0.25"/>
    <row r="48" spans="1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N15:Q15"/>
    <mergeCell ref="S15:Z15"/>
    <mergeCell ref="M5:Q6"/>
    <mergeCell ref="N7:Q7"/>
    <mergeCell ref="N8:Q8"/>
    <mergeCell ref="N9:Q9"/>
    <mergeCell ref="N10:Q10"/>
    <mergeCell ref="S10:Z10"/>
    <mergeCell ref="T11:Z11"/>
    <mergeCell ref="T12:Z12"/>
    <mergeCell ref="M13:Q13"/>
    <mergeCell ref="T13:Z13"/>
    <mergeCell ref="N14:Q14"/>
    <mergeCell ref="N26:Q26"/>
    <mergeCell ref="T26:Z26"/>
    <mergeCell ref="N16:Q16"/>
    <mergeCell ref="T16:Z16"/>
    <mergeCell ref="T17:Z17"/>
    <mergeCell ref="M18:Q18"/>
    <mergeCell ref="T18:Z18"/>
    <mergeCell ref="N19:Q19"/>
    <mergeCell ref="N20:Q20"/>
    <mergeCell ref="N21:Q21"/>
    <mergeCell ref="S23:Z23"/>
    <mergeCell ref="T24:Z24"/>
    <mergeCell ref="M25:Q25"/>
    <mergeCell ref="M37:Q37"/>
    <mergeCell ref="N38:Q38"/>
    <mergeCell ref="N39:Q39"/>
    <mergeCell ref="N40:Q40"/>
    <mergeCell ref="N27:Q27"/>
    <mergeCell ref="N28:Q28"/>
    <mergeCell ref="M30:Q30"/>
    <mergeCell ref="N31:Q31"/>
    <mergeCell ref="N32:Q32"/>
    <mergeCell ref="N33:Q33"/>
  </mergeCells>
  <conditionalFormatting sqref="I2:J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vignesh kaliyannangurumoorthy</cp:lastModifiedBy>
  <dcterms:modified xsi:type="dcterms:W3CDTF">2026-05-25T05:08:26Z</dcterms:modified>
</cp:coreProperties>
</file>